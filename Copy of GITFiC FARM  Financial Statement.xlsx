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bb89dc5ffd34c/Desktop/"/>
    </mc:Choice>
  </mc:AlternateContent>
  <xr:revisionPtr revIDLastSave="29" documentId="8_{6707E3F9-B03B-4967-AF64-49CB8C66B7BD}" xr6:coauthVersionLast="47" xr6:coauthVersionMax="47" xr10:uidLastSave="{B2DE839F-FE38-40F9-82B6-8002FECBB162}"/>
  <bookViews>
    <workbookView xWindow="-110" yWindow="-110" windowWidth="19420" windowHeight="11020" firstSheet="1" activeTab="1" xr2:uid="{12EDC427-E0AF-4316-AC13-F2D2A63EB3F6}"/>
  </bookViews>
  <sheets>
    <sheet name="start up cost " sheetId="1" r:id="rId1"/>
    <sheet name="operating expenses" sheetId="2" r:id="rId2"/>
    <sheet name="production outcome " sheetId="3" r:id="rId3"/>
    <sheet name="revenue estimation" sheetId="4" r:id="rId4"/>
    <sheet name="Income Statement " sheetId="5" r:id="rId5"/>
    <sheet name="Cash Flow Statement " sheetId="8" r:id="rId6"/>
  </sheets>
  <definedNames>
    <definedName name="_xlchart.v1.0" hidden="1">'operating expenses'!$A$3:$A$9</definedName>
    <definedName name="_xlchart.v1.1" hidden="1">'operating expenses'!$D$2</definedName>
    <definedName name="_xlchart.v1.2" hidden="1">'operating expenses'!$D$3:$D$9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8" l="1"/>
  <c r="J30" i="5"/>
  <c r="B3" i="2"/>
  <c r="J28" i="5"/>
  <c r="C4" i="2"/>
  <c r="C3" i="2"/>
  <c r="B17" i="5"/>
  <c r="B10" i="8" s="1"/>
  <c r="F10" i="8" s="1"/>
  <c r="G8" i="8"/>
  <c r="H8" i="8"/>
  <c r="I8" i="8"/>
  <c r="G3" i="8"/>
  <c r="F3" i="8"/>
  <c r="B7" i="8"/>
  <c r="C7" i="8"/>
  <c r="B3" i="8"/>
  <c r="C5" i="5"/>
  <c r="D5" i="5"/>
  <c r="E5" i="5" s="1"/>
  <c r="F5" i="5" s="1"/>
  <c r="G5" i="5" s="1"/>
  <c r="H5" i="5" s="1"/>
  <c r="I5" i="5" s="1"/>
  <c r="J5" i="5" s="1"/>
  <c r="K5" i="5" s="1"/>
  <c r="B5" i="2"/>
  <c r="C18" i="5" s="1"/>
  <c r="D18" i="5" s="1"/>
  <c r="D11" i="8" s="1"/>
  <c r="H11" i="8" s="1"/>
  <c r="J14" i="5"/>
  <c r="J15" i="5"/>
  <c r="J17" i="5"/>
  <c r="J21" i="5"/>
  <c r="J22" i="5"/>
  <c r="E10" i="5"/>
  <c r="D10" i="5"/>
  <c r="C4" i="5"/>
  <c r="C17" i="5" l="1"/>
  <c r="C10" i="8" s="1"/>
  <c r="G10" i="8" s="1"/>
  <c r="C11" i="8"/>
  <c r="G11" i="8" s="1"/>
  <c r="F10" i="5"/>
  <c r="E7" i="8"/>
  <c r="I7" i="8" s="1"/>
  <c r="D7" i="8"/>
  <c r="F7" i="8" s="1"/>
  <c r="H3" i="8"/>
  <c r="I3" i="8"/>
  <c r="I18" i="5"/>
  <c r="G18" i="5"/>
  <c r="E18" i="5"/>
  <c r="E11" i="8" s="1"/>
  <c r="I11" i="8" s="1"/>
  <c r="D17" i="5" l="1"/>
  <c r="E17" i="5" s="1"/>
  <c r="E10" i="8" s="1"/>
  <c r="I10" i="8" s="1"/>
  <c r="H7" i="8"/>
  <c r="G7" i="8"/>
  <c r="D10" i="8"/>
  <c r="H10" i="8" s="1"/>
  <c r="G10" i="5"/>
  <c r="H10" i="5" s="1"/>
  <c r="I10" i="5" s="1"/>
  <c r="F18" i="5"/>
  <c r="H18" i="5"/>
  <c r="J10" i="5" l="1"/>
  <c r="J10" i="8"/>
  <c r="J18" i="5"/>
  <c r="B8" i="5" l="1"/>
  <c r="B16" i="5"/>
  <c r="B15" i="5"/>
  <c r="K17" i="5"/>
  <c r="K10" i="5"/>
  <c r="B9" i="5"/>
  <c r="B5" i="3"/>
  <c r="B6" i="3" s="1"/>
  <c r="B7" i="3" s="1"/>
  <c r="C10" i="2"/>
  <c r="B3" i="1"/>
  <c r="B10" i="1"/>
  <c r="B5" i="8" l="1"/>
  <c r="F5" i="8" s="1"/>
  <c r="C8" i="5"/>
  <c r="C9" i="5"/>
  <c r="B6" i="8"/>
  <c r="F6" i="8" s="1"/>
  <c r="K15" i="5"/>
  <c r="B8" i="8"/>
  <c r="F8" i="8" s="1"/>
  <c r="J8" i="8" s="1"/>
  <c r="B9" i="8"/>
  <c r="F9" i="8" s="1"/>
  <c r="C16" i="5"/>
  <c r="B12" i="5"/>
  <c r="B10" i="2"/>
  <c r="B18" i="5"/>
  <c r="B9" i="3"/>
  <c r="B4" i="4" s="1"/>
  <c r="C4" i="4" s="1"/>
  <c r="B8" i="3"/>
  <c r="D4" i="5" s="1"/>
  <c r="E4" i="5" s="1"/>
  <c r="F4" i="5" s="1"/>
  <c r="G4" i="5" s="1"/>
  <c r="H4" i="5" s="1"/>
  <c r="I4" i="5" s="1"/>
  <c r="D8" i="5" l="1"/>
  <c r="C5" i="8"/>
  <c r="G5" i="8" s="1"/>
  <c r="G8" i="5"/>
  <c r="D8" i="2"/>
  <c r="D7" i="2"/>
  <c r="D9" i="2"/>
  <c r="D6" i="2"/>
  <c r="D5" i="2"/>
  <c r="D4" i="2"/>
  <c r="D3" i="2"/>
  <c r="K18" i="5"/>
  <c r="B11" i="8"/>
  <c r="F11" i="8" s="1"/>
  <c r="J11" i="8" s="1"/>
  <c r="D9" i="5"/>
  <c r="C6" i="8"/>
  <c r="C12" i="5"/>
  <c r="F12" i="8"/>
  <c r="D16" i="5"/>
  <c r="C9" i="8"/>
  <c r="G9" i="8" s="1"/>
  <c r="C19" i="5"/>
  <c r="B12" i="8"/>
  <c r="B19" i="5"/>
  <c r="B3" i="4"/>
  <c r="C3" i="4" s="1"/>
  <c r="E8" i="5" l="1"/>
  <c r="K8" i="5" s="1"/>
  <c r="D5" i="8"/>
  <c r="H5" i="8" s="1"/>
  <c r="H8" i="5"/>
  <c r="G6" i="8"/>
  <c r="C12" i="8"/>
  <c r="E9" i="5"/>
  <c r="K9" i="5" s="1"/>
  <c r="D6" i="8"/>
  <c r="D12" i="5"/>
  <c r="D9" i="8"/>
  <c r="E16" i="5"/>
  <c r="K16" i="5" s="1"/>
  <c r="K19" i="5" s="1"/>
  <c r="D19" i="5"/>
  <c r="D6" i="5"/>
  <c r="D4" i="8" s="1"/>
  <c r="K12" i="5" l="1"/>
  <c r="F8" i="5"/>
  <c r="E5" i="8"/>
  <c r="I5" i="8" s="1"/>
  <c r="J5" i="8" s="1"/>
  <c r="I8" i="5"/>
  <c r="H6" i="8"/>
  <c r="H12" i="8" s="1"/>
  <c r="D12" i="8"/>
  <c r="D13" i="8" s="1"/>
  <c r="F9" i="5"/>
  <c r="E6" i="8"/>
  <c r="E12" i="5"/>
  <c r="G12" i="8"/>
  <c r="E19" i="5"/>
  <c r="F16" i="5"/>
  <c r="E9" i="8"/>
  <c r="I9" i="8" s="1"/>
  <c r="J9" i="8" s="1"/>
  <c r="K4" i="5"/>
  <c r="K6" i="5" s="1"/>
  <c r="F6" i="5"/>
  <c r="F4" i="8" s="1"/>
  <c r="E6" i="5"/>
  <c r="C6" i="5"/>
  <c r="B6" i="5"/>
  <c r="D13" i="5"/>
  <c r="D20" i="5" s="1"/>
  <c r="D23" i="5" s="1"/>
  <c r="B13" i="5" l="1"/>
  <c r="B20" i="5" s="1"/>
  <c r="B23" i="5" s="1"/>
  <c r="B4" i="8"/>
  <c r="B13" i="8" s="1"/>
  <c r="C13" i="5"/>
  <c r="C20" i="5" s="1"/>
  <c r="C23" i="5" s="1"/>
  <c r="C4" i="8"/>
  <c r="C13" i="8" s="1"/>
  <c r="J8" i="5"/>
  <c r="K13" i="5"/>
  <c r="K20" i="5" s="1"/>
  <c r="K23" i="5" s="1"/>
  <c r="I6" i="8"/>
  <c r="E12" i="8"/>
  <c r="K12" i="8" s="1"/>
  <c r="F12" i="5"/>
  <c r="F13" i="5" s="1"/>
  <c r="G9" i="5"/>
  <c r="G16" i="5"/>
  <c r="F19" i="5"/>
  <c r="F13" i="8"/>
  <c r="E13" i="5"/>
  <c r="E20" i="5" s="1"/>
  <c r="E23" i="5" s="1"/>
  <c r="E4" i="8"/>
  <c r="G6" i="5"/>
  <c r="B14" i="8" l="1"/>
  <c r="C14" i="8" s="1"/>
  <c r="D14" i="8" s="1"/>
  <c r="F20" i="5"/>
  <c r="F23" i="5" s="1"/>
  <c r="H9" i="5"/>
  <c r="G12" i="5"/>
  <c r="G13" i="5" s="1"/>
  <c r="I12" i="8"/>
  <c r="J6" i="8"/>
  <c r="J12" i="8" s="1"/>
  <c r="H16" i="5"/>
  <c r="G19" i="5"/>
  <c r="G4" i="8"/>
  <c r="E13" i="8"/>
  <c r="K4" i="8"/>
  <c r="I6" i="5"/>
  <c r="H6" i="5"/>
  <c r="E14" i="8" l="1"/>
  <c r="F14" i="8" s="1"/>
  <c r="K13" i="8"/>
  <c r="G20" i="5"/>
  <c r="G23" i="5" s="1"/>
  <c r="I16" i="5"/>
  <c r="I19" i="5" s="1"/>
  <c r="H19" i="5"/>
  <c r="I9" i="5"/>
  <c r="H12" i="5"/>
  <c r="H13" i="5" s="1"/>
  <c r="G13" i="8"/>
  <c r="H4" i="8"/>
  <c r="H13" i="8" s="1"/>
  <c r="I4" i="8"/>
  <c r="I13" i="8" s="1"/>
  <c r="J4" i="5"/>
  <c r="J6" i="5"/>
  <c r="G14" i="8" l="1"/>
  <c r="J13" i="8"/>
  <c r="D17" i="8" s="1"/>
  <c r="H20" i="5"/>
  <c r="H23" i="5" s="1"/>
  <c r="I12" i="5"/>
  <c r="I13" i="5" s="1"/>
  <c r="J9" i="5"/>
  <c r="J16" i="5"/>
  <c r="J19" i="5"/>
  <c r="H14" i="8"/>
  <c r="I14" i="8" s="1"/>
  <c r="J4" i="8"/>
  <c r="J12" i="5" l="1"/>
  <c r="I20" i="5" l="1"/>
  <c r="J13" i="5"/>
  <c r="I23" i="5" l="1"/>
  <c r="J23" i="5" s="1"/>
  <c r="J27" i="5" s="1"/>
  <c r="J20" i="5"/>
  <c r="J29" i="5" l="1"/>
</calcChain>
</file>

<file path=xl/sharedStrings.xml><?xml version="1.0" encoding="utf-8"?>
<sst xmlns="http://schemas.openxmlformats.org/spreadsheetml/2006/main" count="106" uniqueCount="104">
  <si>
    <t xml:space="preserve">Start up cost/ Capital Expenditure </t>
  </si>
  <si>
    <t>Category</t>
  </si>
  <si>
    <t>Total Cost (GHS)</t>
  </si>
  <si>
    <t>Pullets (25,000 chicks)</t>
  </si>
  <si>
    <t>Housing Construction</t>
  </si>
  <si>
    <t>Automated Watering System</t>
  </si>
  <si>
    <t>Biosecurity &amp; Fencing</t>
  </si>
  <si>
    <t>Storage &amp; Utility Blocks</t>
  </si>
  <si>
    <t>Sanitation &amp; PPE</t>
  </si>
  <si>
    <t>Office/Admin Setup</t>
  </si>
  <si>
    <t>Total Capital Needed</t>
  </si>
  <si>
    <t xml:space="preserve">raw data </t>
  </si>
  <si>
    <t xml:space="preserve">pullets </t>
  </si>
  <si>
    <t xml:space="preserve">number of chicks </t>
  </si>
  <si>
    <t xml:space="preserve">operating expenses </t>
  </si>
  <si>
    <t>Expense</t>
  </si>
  <si>
    <t>Monthly (GHS)</t>
  </si>
  <si>
    <t>Annual (GHS)</t>
  </si>
  <si>
    <t xml:space="preserve">percentage </t>
  </si>
  <si>
    <t>Feed</t>
  </si>
  <si>
    <t>Veterinary/Medication</t>
  </si>
  <si>
    <t>Labor (15 @ GHS 1000)</t>
  </si>
  <si>
    <t>Packaging (egg trays)</t>
  </si>
  <si>
    <t>Rent &amp; Utilities</t>
  </si>
  <si>
    <t>Admin &amp; Operations</t>
  </si>
  <si>
    <t>Repairs &amp; Maintenance</t>
  </si>
  <si>
    <t>Total Operating Cost</t>
  </si>
  <si>
    <t>Production Outcome</t>
  </si>
  <si>
    <t>Metric</t>
  </si>
  <si>
    <t>Value</t>
  </si>
  <si>
    <t xml:space="preserve">No. of Pullet </t>
  </si>
  <si>
    <t>Egg Rate(Weekly)</t>
  </si>
  <si>
    <t>Weekly Output</t>
  </si>
  <si>
    <t>Monthly Output</t>
  </si>
  <si>
    <t>Annual Output</t>
  </si>
  <si>
    <t>Crate (30 unit of eggs ) monthly</t>
  </si>
  <si>
    <t xml:space="preserve">Crate (30 unit of eggs ) Annual </t>
  </si>
  <si>
    <t>Revenue Projection</t>
  </si>
  <si>
    <t xml:space="preserve">Items </t>
  </si>
  <si>
    <t xml:space="preserve">Value </t>
  </si>
  <si>
    <t xml:space="preserve">Total Revenue </t>
  </si>
  <si>
    <t>Number of Crate  (Monthly )</t>
  </si>
  <si>
    <t>Number of Crate  (Annual)</t>
  </si>
  <si>
    <t xml:space="preserve">Price per crate </t>
  </si>
  <si>
    <t xml:space="preserve">Income statement </t>
  </si>
  <si>
    <t>Line Item</t>
  </si>
  <si>
    <t>Q1</t>
  </si>
  <si>
    <t>Q2</t>
  </si>
  <si>
    <t>Q3</t>
  </si>
  <si>
    <t>Q4</t>
  </si>
  <si>
    <t>Q5</t>
  </si>
  <si>
    <t>Q6</t>
  </si>
  <si>
    <t>Q7</t>
  </si>
  <si>
    <t>Q8</t>
  </si>
  <si>
    <t>Y2 Total</t>
  </si>
  <si>
    <t>Y1Total</t>
  </si>
  <si>
    <t>Revenue</t>
  </si>
  <si>
    <t xml:space="preserve">‣ crate of Eggs </t>
  </si>
  <si>
    <t xml:space="preserve">Price Per Crate </t>
  </si>
  <si>
    <t>Total Revenue</t>
  </si>
  <si>
    <t>Cost of Goods Sold (COGS)</t>
  </si>
  <si>
    <t>‣ Feed</t>
  </si>
  <si>
    <t>‣ Veterinary &amp; Medication</t>
  </si>
  <si>
    <t>‣ Packaging</t>
  </si>
  <si>
    <t>Total COGS</t>
  </si>
  <si>
    <t>Gross Profit</t>
  </si>
  <si>
    <t>Operating Expenses</t>
  </si>
  <si>
    <t xml:space="preserve">‣ Utilities </t>
  </si>
  <si>
    <t>‣ Repairs &amp; Maintenance</t>
  </si>
  <si>
    <t>‣ Admin &amp; General Expenses</t>
  </si>
  <si>
    <t>‣ Labor</t>
  </si>
  <si>
    <t>Total Operating Expenses</t>
  </si>
  <si>
    <t xml:space="preserve">EBIT </t>
  </si>
  <si>
    <t>Interest Expense</t>
  </si>
  <si>
    <t>Tax Provision (0%)</t>
  </si>
  <si>
    <t>Net Profit After Tax</t>
  </si>
  <si>
    <t>Total profit at the end of the year 2</t>
  </si>
  <si>
    <t xml:space="preserve">Initial Cost </t>
  </si>
  <si>
    <t xml:space="preserve">Net Profit </t>
  </si>
  <si>
    <t>ROI</t>
  </si>
  <si>
    <t xml:space="preserve">Cash Flow Statement </t>
  </si>
  <si>
    <t>Cash Flow Item</t>
  </si>
  <si>
    <t>Q1 (GHS)</t>
  </si>
  <si>
    <t>Q2 (GHS)</t>
  </si>
  <si>
    <t>Q3 (GHS)</t>
  </si>
  <si>
    <t>Q4 (GHS)</t>
  </si>
  <si>
    <t>Q5 (GHS)</t>
  </si>
  <si>
    <t>Q6 (GHS)</t>
  </si>
  <si>
    <t>Q7 (GHS)</t>
  </si>
  <si>
    <t>Q8 (GHS)</t>
  </si>
  <si>
    <t>Year 2 Total (GHS)</t>
  </si>
  <si>
    <t>Annual Total (GHS)</t>
  </si>
  <si>
    <t>Egg Sales (GHS 50/crate)</t>
  </si>
  <si>
    <t>Total Inflows</t>
  </si>
  <si>
    <t>Veterinary &amp; Medication</t>
  </si>
  <si>
    <t>Packaging</t>
  </si>
  <si>
    <t>Utilities</t>
  </si>
  <si>
    <t>Admin &amp; General Expenses</t>
  </si>
  <si>
    <t>Labor</t>
  </si>
  <si>
    <t>Total Outflows</t>
  </si>
  <si>
    <t>Net Cash Flow</t>
  </si>
  <si>
    <t>Cumulative Cash Flow</t>
  </si>
  <si>
    <t>Discount Rate</t>
  </si>
  <si>
    <t xml:space="preserve">NPV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</si>
</sst>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[$GHS]\ #,##0.00"/>
    <numFmt numFmtId="165" formatCode="[$GHS]\ #,##0.00_);[Red]\([$GHS]\ #,##0.00\)"/>
  </numFmts>
  <fonts count="17"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2"/>
      <color rgb="FFFFFFFF"/>
      <name val="Gill Sans MT"/>
      <family val="2"/>
    </font>
    <font>
      <sz val="12"/>
      <color rgb="FF000000"/>
      <name val="Gill Sans MT"/>
      <family val="2"/>
    </font>
    <font>
      <b/>
      <sz val="12"/>
      <color rgb="FF000000"/>
      <name val="Gill Sans MT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0"/>
      <name val="Sitka Small Semibold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8"/>
      <color theme="0"/>
      <name val="Arial Black"/>
      <family val="2"/>
    </font>
    <font>
      <b/>
      <sz val="14"/>
      <color theme="0"/>
      <name val="Times New Roman"/>
      <family val="1"/>
    </font>
    <font>
      <sz val="8"/>
      <name val="Times New Roman"/>
      <family val="2"/>
    </font>
    <font>
      <b/>
      <sz val="20"/>
      <color theme="0"/>
      <name val="Times New Roman"/>
      <family val="1"/>
    </font>
    <font>
      <sz val="12"/>
      <color theme="1"/>
      <name val="Times New Roman"/>
      <family val="2"/>
    </font>
    <font>
      <b/>
      <sz val="12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6">
    <xf numFmtId="0" fontId="0" fillId="0" borderId="0" xfId="0"/>
    <xf numFmtId="3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4" fontId="0" fillId="0" borderId="0" xfId="0" applyNumberFormat="1"/>
    <xf numFmtId="165" fontId="3" fillId="3" borderId="2" xfId="0" applyNumberFormat="1" applyFont="1" applyFill="1" applyBorder="1" applyAlignment="1">
      <alignment vertical="center" wrapText="1"/>
    </xf>
    <xf numFmtId="165" fontId="3" fillId="4" borderId="2" xfId="0" applyNumberFormat="1" applyFont="1" applyFill="1" applyBorder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2" fontId="9" fillId="0" borderId="0" xfId="0" applyNumberFormat="1" applyFont="1"/>
    <xf numFmtId="8" fontId="0" fillId="0" borderId="0" xfId="0" applyNumberFormat="1"/>
    <xf numFmtId="165" fontId="9" fillId="0" borderId="0" xfId="0" applyNumberFormat="1" applyFont="1"/>
    <xf numFmtId="165" fontId="12" fillId="7" borderId="0" xfId="0" applyNumberFormat="1" applyFont="1" applyFill="1" applyAlignment="1">
      <alignment vertical="center"/>
    </xf>
    <xf numFmtId="165" fontId="5" fillId="0" borderId="6" xfId="0" applyNumberFormat="1" applyFont="1" applyBorder="1"/>
    <xf numFmtId="165" fontId="10" fillId="5" borderId="7" xfId="0" applyNumberFormat="1" applyFont="1" applyFill="1" applyBorder="1"/>
    <xf numFmtId="165" fontId="6" fillId="8" borderId="10" xfId="0" applyNumberFormat="1" applyFont="1" applyFill="1" applyBorder="1"/>
    <xf numFmtId="165" fontId="6" fillId="8" borderId="8" xfId="0" applyNumberFormat="1" applyFont="1" applyFill="1" applyBorder="1"/>
    <xf numFmtId="165" fontId="6" fillId="9" borderId="9" xfId="0" applyNumberFormat="1" applyFont="1" applyFill="1" applyBorder="1" applyAlignment="1">
      <alignment vertical="center"/>
    </xf>
    <xf numFmtId="165" fontId="6" fillId="0" borderId="7" xfId="0" applyNumberFormat="1" applyFont="1" applyBorder="1"/>
    <xf numFmtId="1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65" fontId="5" fillId="0" borderId="12" xfId="0" applyNumberFormat="1" applyFont="1" applyBorder="1" applyAlignment="1">
      <alignment vertical="center" wrapText="1"/>
    </xf>
    <xf numFmtId="165" fontId="5" fillId="6" borderId="5" xfId="0" applyNumberFormat="1" applyFont="1" applyFill="1" applyBorder="1" applyAlignment="1">
      <alignment vertical="center" wrapText="1"/>
    </xf>
    <xf numFmtId="165" fontId="0" fillId="6" borderId="4" xfId="0" applyNumberFormat="1" applyFill="1" applyBorder="1" applyAlignment="1">
      <alignment vertical="center" wrapText="1"/>
    </xf>
    <xf numFmtId="165" fontId="1" fillId="6" borderId="4" xfId="0" applyNumberFormat="1" applyFont="1" applyFill="1" applyBorder="1" applyAlignment="1">
      <alignment horizontal="center" vertical="center" wrapText="1"/>
    </xf>
    <xf numFmtId="165" fontId="0" fillId="6" borderId="13" xfId="0" applyNumberFormat="1" applyFill="1" applyBorder="1" applyAlignment="1">
      <alignment vertical="center" wrapText="1"/>
    </xf>
    <xf numFmtId="165" fontId="0" fillId="6" borderId="14" xfId="0" applyNumberForma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165" fontId="5" fillId="6" borderId="12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6" borderId="4" xfId="0" applyNumberFormat="1" applyFill="1" applyBorder="1" applyAlignment="1">
      <alignment vertical="center" wrapText="1"/>
    </xf>
    <xf numFmtId="0" fontId="16" fillId="6" borderId="0" xfId="0" applyFont="1" applyFill="1"/>
    <xf numFmtId="9" fontId="16" fillId="10" borderId="0" xfId="1" applyFont="1" applyFill="1"/>
    <xf numFmtId="164" fontId="5" fillId="0" borderId="0" xfId="0" applyNumberFormat="1" applyFont="1"/>
    <xf numFmtId="0" fontId="5" fillId="10" borderId="0" xfId="0" applyFont="1" applyFill="1"/>
    <xf numFmtId="165" fontId="5" fillId="10" borderId="0" xfId="0" applyNumberFormat="1" applyFont="1" applyFill="1"/>
    <xf numFmtId="9" fontId="5" fillId="0" borderId="0" xfId="0" applyNumberFormat="1" applyFont="1"/>
    <xf numFmtId="9" fontId="0" fillId="0" borderId="0" xfId="0" applyNumberFormat="1"/>
    <xf numFmtId="0" fontId="8" fillId="5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numFmt numFmtId="165" formatCode="[$GHS]\ #,##0.00_);[Red]\([$GHS]\ #,##0.00\)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family val="1"/>
      </font>
      <numFmt numFmtId="165" formatCode="[$GHS]\ #,##0.00_);[Red]\([$GHS]\ #,##0.00\)"/>
    </dxf>
    <dxf>
      <numFmt numFmtId="2" formatCode="0.00"/>
    </dxf>
    <dxf>
      <font>
        <b val="0"/>
        <family val="1"/>
      </font>
      <numFmt numFmtId="165" formatCode="[$GHS]\ #,##0.00_);[Red]\([$GHS]\ #,##0.00\)"/>
    </dxf>
    <dxf>
      <font>
        <b val="0"/>
        <family val="1"/>
      </font>
      <numFmt numFmtId="165" formatCode="[$GHS]\ #,##0.00_);[Red]\([$GHS]\ #,##0.00\)"/>
    </dxf>
    <dxf>
      <font>
        <b val="0"/>
        <family val="1"/>
      </font>
      <numFmt numFmtId="165" formatCode="[$GHS]\ #,##0.00_);[Red]\([$GHS]\ #,##0.00\)"/>
    </dxf>
    <dxf>
      <font>
        <b val="0"/>
        <family val="1"/>
      </font>
      <numFmt numFmtId="165" formatCode="[$GHS]\ #,##0.00_);[Red]\([$GHS]\ #,##0.00\)"/>
    </dxf>
    <dxf>
      <font>
        <b val="0"/>
        <family val="1"/>
      </font>
      <numFmt numFmtId="165" formatCode="[$GHS]\ #,##0.00_);[Red]\([$GHS]\ #,##0.00\)"/>
    </dxf>
    <dxf>
      <font>
        <b val="0"/>
        <family val="1"/>
      </font>
      <numFmt numFmtId="165" formatCode="[$GHS]\ #,##0.00_);[Red]\([$GHS]\ #,##0.00\)"/>
    </dxf>
    <dxf>
      <numFmt numFmtId="12" formatCode="&quot;$&quot;#,##0.00_);[Red]\(&quot;$&quot;#,##0.00\)"/>
    </dxf>
    <dxf>
      <numFmt numFmtId="165" formatCode="[$GHS]\ #,##0.00_);[Red]\([$GHS]\ #,##0.00\)"/>
    </dxf>
    <dxf>
      <numFmt numFmtId="14" formatCode="0.00%"/>
    </dxf>
    <dxf>
      <numFmt numFmtId="165" formatCode="[$GHS]\ #,##0.00_);[Red]\([$GHS]\ #,##0.00\)"/>
    </dxf>
    <dxf>
      <numFmt numFmtId="165" formatCode="[$GHS]\ #,##0.00_);[Red]\([$GHS]\ #,##0.00\)"/>
    </dxf>
    <dxf>
      <numFmt numFmtId="165" formatCode="[$GHS]\ #,##0.00_);[Red]\([$GHS]\ 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ill Sans MT"/>
        <family val="2"/>
        <scheme val="none"/>
      </font>
      <fill>
        <patternFill patternType="solid">
          <fgColor indexed="64"/>
          <bgColor rgb="FF5B9BD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FFFFFF"/>
        </bottom>
      </border>
    </dxf>
    <dxf>
      <border outline="0">
        <bottom style="medium">
          <color rgb="FFFFFFFF"/>
        </bottom>
      </border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ill Sans MT"/>
        <family val="2"/>
        <scheme val="none"/>
      </font>
      <fill>
        <patternFill patternType="solid">
          <fgColor indexed="64"/>
          <bgColor rgb="FF5B9BD5"/>
        </patternFill>
      </fill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6973C84-200F-4D2F-AC0F-444F30958C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percentage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percentage </a:t>
          </a:r>
        </a:p>
      </cx:txPr>
    </cx:title>
    <cx:plotArea>
      <cx:plotAreaRegion>
        <cx:series layoutId="sunburst" uniqueId="{21AF7459-29B6-42CB-98D5-C2EC3F07FD1C}">
          <cx:tx>
            <cx:txData>
              <cx:f>_xlchart.v1.1</cx:f>
              <cx:v>percentage </cx:v>
            </cx:txData>
          </cx:tx>
          <cx:dataId val="0"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3</xdr:row>
      <xdr:rowOff>63500</xdr:rowOff>
    </xdr:from>
    <xdr:to>
      <xdr:col>12</xdr:col>
      <xdr:colOff>76200</xdr:colOff>
      <xdr:row>17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7D9BF62-A367-D8CA-0EB4-C319899366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968B5-BEF6-4466-A9FA-5F5A9A5186C7}" name="Table1" displayName="Table1" ref="A2:B10" totalsRowShown="0" headerRowDxfId="30" headerRowBorderDxfId="28" tableBorderDxfId="29">
  <autoFilter ref="A2:B10" xr:uid="{7EA968B5-BEF6-4466-A9FA-5F5A9A5186C7}"/>
  <tableColumns count="2">
    <tableColumn id="1" xr3:uid="{C650BBFE-D444-4846-84D2-59654C4D752A}" name="Category" dataDxfId="27"/>
    <tableColumn id="2" xr3:uid="{49733124-A5F2-47DE-B2EA-B478836599FC}" name="Total Cost (GHS)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7F8FA-B633-42FE-BC78-31E8EE006EEB}" name="Table2" displayName="Table2" ref="A2:D10" totalsRowShown="0">
  <autoFilter ref="A2:D10" xr:uid="{08B7F8FA-B633-42FE-BC78-31E8EE006EEB}"/>
  <tableColumns count="4">
    <tableColumn id="1" xr3:uid="{8444425A-FEB2-44A6-B7E3-5B5E1034D274}" name="Expense"/>
    <tableColumn id="2" xr3:uid="{B857E08B-D201-4250-9FDC-EB7B58527774}" name="Monthly (GHS)" dataDxfId="25"/>
    <tableColumn id="3" xr3:uid="{80370921-CB44-4756-A8FF-86BA5A89C674}" name="Annual (GHS)" dataDxfId="24"/>
    <tableColumn id="5" xr3:uid="{07D1E991-AEF5-4F43-8049-C1B516B9F2FC}" name="percentage 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E79547-474D-410B-A4B3-0A4F54E342B6}" name="Table4" displayName="Table4" ref="A2:B9" totalsRowShown="0">
  <autoFilter ref="A2:B9" xr:uid="{71E79547-474D-410B-A4B3-0A4F54E342B6}"/>
  <tableColumns count="2">
    <tableColumn id="1" xr3:uid="{9C63F6FF-4D1B-4B4F-A6D3-B7EF56ABFB1B}" name="Metric"/>
    <tableColumn id="2" xr3:uid="{29774199-FE7B-48A8-96F9-8189AE1D64E4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824A42-BAC6-47B1-A63B-B3B8C9E0E57A}" name="Table5" displayName="Table5" ref="A2:C7" totalsRowShown="0">
  <autoFilter ref="A2:C7" xr:uid="{07824A42-BAC6-47B1-A63B-B3B8C9E0E57A}"/>
  <tableColumns count="3">
    <tableColumn id="1" xr3:uid="{E12345BB-D986-4154-A55D-5346FAE3AA51}" name="Items "/>
    <tableColumn id="2" xr3:uid="{20FEFE3F-399C-4A64-AC9F-09B243217FCB}" name="Value "/>
    <tableColumn id="3" xr3:uid="{B725B769-22F6-45EA-B972-AD0BFDA921C7}" name="Total Revenue " dataDxfId="2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67E98-AA05-4F82-99DA-909882D145E9}" name="Table6" displayName="Table6" ref="A2:K23" totalsRowShown="0" headerRowDxfId="21" dataDxfId="20">
  <autoFilter ref="A2:K23" xr:uid="{93967E98-AA05-4F82-99DA-909882D145E9}"/>
  <tableColumns count="11">
    <tableColumn id="1" xr3:uid="{79BEDC68-0372-4473-B274-4228AD96FAF0}" name="Line Item" dataDxfId="19"/>
    <tableColumn id="2" xr3:uid="{308E97A0-7693-46E3-817A-91F0D5CFAF37}" name="Q1" dataDxfId="18"/>
    <tableColumn id="3" xr3:uid="{19E1C9CB-51D1-46C8-8775-6EBD24645919}" name="Q2" dataDxfId="17"/>
    <tableColumn id="4" xr3:uid="{5EF8DF47-7B97-4CC0-825C-3394F67E06C7}" name="Q3" dataDxfId="16"/>
    <tableColumn id="5" xr3:uid="{83C020A1-0720-4A89-873A-33F90991C306}" name="Q4" dataDxfId="15"/>
    <tableColumn id="7" xr3:uid="{698DDE40-3AE4-48D7-A356-5DE74C70D7A1}" name="Q5"/>
    <tableColumn id="9" xr3:uid="{A466448E-3A3F-4172-A757-2FFCC08DDF73}" name="Q6"/>
    <tableColumn id="11" xr3:uid="{3E55EB8D-6368-4555-A4D3-7747CBC5C906}" name="Q7"/>
    <tableColumn id="12" xr3:uid="{13E343A4-9D8B-451E-8D16-4B41CCAC0AA2}" name="Q8"/>
    <tableColumn id="14" xr3:uid="{2EC8D799-BE60-417A-8B9C-9D066014B6F2}" name="Y2 Total" dataDxfId="14">
      <calculatedColumnFormula>SUM(Table6[[#This Row],[Q5]:[Q8]])</calculatedColumnFormula>
    </tableColumn>
    <tableColumn id="6" xr3:uid="{31B64AC5-1E67-4F5E-953B-265E5FAAB2F3}" name="Y1Total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3B73AB-D5EA-45D9-9DAD-CFF2D40FC57D}" name="Table10" displayName="Table10" ref="A2:K14" totalsRowShown="0" headerRowDxfId="12" dataDxfId="11">
  <autoFilter ref="A2:K14" xr:uid="{0B3B73AB-D5EA-45D9-9DAD-CFF2D40FC57D}"/>
  <tableColumns count="11">
    <tableColumn id="1" xr3:uid="{7E2090C8-3F50-4F17-8002-A3425D5F2371}" name="Cash Flow Item" dataDxfId="10"/>
    <tableColumn id="2" xr3:uid="{CD3932FD-E1DC-4893-9831-67A9CF178FEB}" name="Q1 (GHS)" dataDxfId="9"/>
    <tableColumn id="3" xr3:uid="{9D9967E8-27A7-449D-84E3-0A030494EB64}" name="Q2 (GHS)" dataDxfId="8"/>
    <tableColumn id="4" xr3:uid="{26C6CE45-8FFA-4038-9BF9-EFF79A6F5280}" name="Q3 (GHS)" dataDxfId="7"/>
    <tableColumn id="5" xr3:uid="{E457E7D2-834F-4EDB-9682-BB85309FFB5A}" name="Q4 (GHS)" dataDxfId="6"/>
    <tableColumn id="9" xr3:uid="{4782FA58-31F9-46A2-8AC3-87BA74676684}" name="Q5 (GHS)" dataDxfId="5"/>
    <tableColumn id="10" xr3:uid="{AAB12353-8F20-45EE-B288-3FA971C127C3}" name="Q6 (GHS)" dataDxfId="4"/>
    <tableColumn id="11" xr3:uid="{5FC73C03-0F03-4931-9B14-D42EF442CCC9}" name="Q7 (GHS)" dataDxfId="3"/>
    <tableColumn id="12" xr3:uid="{5D929868-FB21-4264-8DCD-872E71B7E832}" name="Q8 (GHS)" dataDxfId="2"/>
    <tableColumn id="13" xr3:uid="{B1F3A0BB-71CC-4478-A815-D65DA6A8258A}" name="Year 2 Total (GHS)" dataDxfId="1"/>
    <tableColumn id="15" xr3:uid="{779E11AF-24FB-4090-A2CE-F08AA49647B2}" name="Annual Total (GH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7ACC-A92F-49AC-8E84-5B101CA3F8AC}">
  <dimension ref="A1:G17"/>
  <sheetViews>
    <sheetView topLeftCell="A4" zoomScaleNormal="100" workbookViewId="0">
      <selection activeCell="B10" sqref="B10"/>
    </sheetView>
  </sheetViews>
  <sheetFormatPr defaultRowHeight="15.6"/>
  <cols>
    <col min="1" max="1" width="40.375" customWidth="1"/>
    <col min="2" max="2" width="50.125" customWidth="1"/>
  </cols>
  <sheetData>
    <row r="1" spans="1:7" ht="24.95" customHeight="1" thickBot="1">
      <c r="A1" s="50" t="s">
        <v>0</v>
      </c>
      <c r="B1" s="50"/>
    </row>
    <row r="2" spans="1:7" ht="18.95" thickBot="1">
      <c r="A2" s="3" t="s">
        <v>1</v>
      </c>
      <c r="B2" s="3" t="s">
        <v>2</v>
      </c>
    </row>
    <row r="3" spans="1:7" ht="18.95" thickBot="1">
      <c r="A3" s="2" t="s">
        <v>3</v>
      </c>
      <c r="B3" s="6">
        <f>B16*B17</f>
        <v>675000</v>
      </c>
    </row>
    <row r="4" spans="1:7" ht="18.95" thickBot="1">
      <c r="A4" s="2" t="s">
        <v>4</v>
      </c>
      <c r="B4" s="7">
        <v>890000</v>
      </c>
    </row>
    <row r="5" spans="1:7" ht="18.95" thickBot="1">
      <c r="A5" s="2" t="s">
        <v>5</v>
      </c>
      <c r="B5" s="6">
        <v>160000</v>
      </c>
    </row>
    <row r="6" spans="1:7" ht="18.95" thickBot="1">
      <c r="A6" s="2" t="s">
        <v>6</v>
      </c>
      <c r="B6" s="7">
        <v>27000</v>
      </c>
    </row>
    <row r="7" spans="1:7" ht="18.95" thickBot="1">
      <c r="A7" s="2" t="s">
        <v>7</v>
      </c>
      <c r="B7" s="6">
        <v>70000</v>
      </c>
    </row>
    <row r="8" spans="1:7" ht="18.95" thickBot="1">
      <c r="A8" s="2" t="s">
        <v>8</v>
      </c>
      <c r="B8" s="7">
        <v>35000</v>
      </c>
    </row>
    <row r="9" spans="1:7" ht="18.95" thickBot="1">
      <c r="A9" s="2" t="s">
        <v>9</v>
      </c>
      <c r="B9" s="6">
        <v>25000</v>
      </c>
    </row>
    <row r="10" spans="1:7" ht="18.600000000000001">
      <c r="A10" s="4" t="s">
        <v>10</v>
      </c>
      <c r="B10" s="8">
        <f>SUM(B3:B9)</f>
        <v>1882000</v>
      </c>
    </row>
    <row r="14" spans="1:7">
      <c r="G14">
        <v>1</v>
      </c>
    </row>
    <row r="15" spans="1:7">
      <c r="A15" t="s">
        <v>11</v>
      </c>
    </row>
    <row r="16" spans="1:7">
      <c r="A16" t="s">
        <v>12</v>
      </c>
      <c r="B16" s="5">
        <v>27</v>
      </c>
    </row>
    <row r="17" spans="1:2">
      <c r="A17" t="s">
        <v>13</v>
      </c>
      <c r="B17" s="1">
        <v>25000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4628-6400-4740-AAA3-FC920A1A85D3}">
  <dimension ref="A1:D10"/>
  <sheetViews>
    <sheetView tabSelected="1" topLeftCell="B3" workbookViewId="0">
      <selection activeCell="B3" sqref="B3"/>
    </sheetView>
  </sheetViews>
  <sheetFormatPr defaultRowHeight="15.6"/>
  <cols>
    <col min="1" max="1" width="21.375" bestFit="1" customWidth="1"/>
    <col min="2" max="2" width="18.875" customWidth="1"/>
    <col min="3" max="3" width="18.25" customWidth="1"/>
  </cols>
  <sheetData>
    <row r="1" spans="1:4" ht="20.100000000000001">
      <c r="A1" s="51" t="s">
        <v>14</v>
      </c>
      <c r="B1" s="51"/>
      <c r="C1" s="51"/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s="11">
        <f>750000*0.4</f>
        <v>300000</v>
      </c>
      <c r="C3" s="11">
        <f>Table2[[#This Row],[Monthly (GHS)]]*12</f>
        <v>3600000</v>
      </c>
      <c r="D3" s="24">
        <f>Table2[[#This Row],[Monthly (GHS)]]/B10</f>
        <v>0.56963827969239533</v>
      </c>
    </row>
    <row r="4" spans="1:4">
      <c r="A4" t="s">
        <v>20</v>
      </c>
      <c r="B4" s="11">
        <v>67570</v>
      </c>
      <c r="C4" s="11">
        <f>Table2[[#This Row],[Monthly (GHS)]]*12</f>
        <v>810840</v>
      </c>
      <c r="D4" s="24">
        <f>Table2[[#This Row],[Monthly (GHS)]]/B10</f>
        <v>0.12830152852938384</v>
      </c>
    </row>
    <row r="5" spans="1:4">
      <c r="A5" t="s">
        <v>21</v>
      </c>
      <c r="B5" s="11">
        <f>15*1000</f>
        <v>15000</v>
      </c>
      <c r="C5" s="11">
        <v>432000</v>
      </c>
      <c r="D5" s="24">
        <f>Table2[[#This Row],[Monthly (GHS)]]/B10</f>
        <v>2.8481913984619765E-2</v>
      </c>
    </row>
    <row r="6" spans="1:4">
      <c r="A6" t="s">
        <v>22</v>
      </c>
      <c r="B6" s="11">
        <v>100080</v>
      </c>
      <c r="C6" s="11">
        <v>1200960</v>
      </c>
      <c r="D6" s="24">
        <f>Table2[[#This Row],[Monthly (GHS)]]/B10</f>
        <v>0.19003133010538309</v>
      </c>
    </row>
    <row r="7" spans="1:4">
      <c r="A7" t="s">
        <v>23</v>
      </c>
      <c r="B7" s="11">
        <v>25000</v>
      </c>
      <c r="C7" s="11">
        <v>540000</v>
      </c>
      <c r="D7" s="24">
        <f>Table2[[#This Row],[Monthly (GHS)]]/B10</f>
        <v>4.7469856641032947E-2</v>
      </c>
    </row>
    <row r="8" spans="1:4">
      <c r="A8" t="s">
        <v>24</v>
      </c>
      <c r="B8" s="11">
        <v>10000</v>
      </c>
      <c r="C8" s="11">
        <v>144000</v>
      </c>
      <c r="D8" s="24">
        <f>Table2[[#This Row],[Monthly (GHS)]]/B10</f>
        <v>1.8987942656413178E-2</v>
      </c>
    </row>
    <row r="9" spans="1:4">
      <c r="A9" t="s">
        <v>25</v>
      </c>
      <c r="B9" s="11">
        <v>9000</v>
      </c>
      <c r="C9" s="11">
        <v>288000</v>
      </c>
      <c r="D9" s="24">
        <f>Table2[[#This Row],[Monthly (GHS)]]/B10</f>
        <v>1.7089148390771861E-2</v>
      </c>
    </row>
    <row r="10" spans="1:4">
      <c r="A10" s="9" t="s">
        <v>26</v>
      </c>
      <c r="B10" s="12">
        <f>SUM(B3:B9)</f>
        <v>526650</v>
      </c>
      <c r="C10" s="12">
        <f>SUM(C3:C9)</f>
        <v>7015800</v>
      </c>
      <c r="D10" s="24"/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0324-B5ED-430C-B731-E66C4754BDD9}">
  <dimension ref="A1:B9"/>
  <sheetViews>
    <sheetView workbookViewId="0">
      <selection activeCell="B14" sqref="B14"/>
    </sheetView>
  </sheetViews>
  <sheetFormatPr defaultRowHeight="15.6"/>
  <cols>
    <col min="1" max="1" width="27.625" customWidth="1"/>
    <col min="2" max="2" width="19.25" customWidth="1"/>
  </cols>
  <sheetData>
    <row r="1" spans="1:2" ht="27.95" customHeight="1">
      <c r="A1" s="52" t="s">
        <v>27</v>
      </c>
      <c r="B1" s="52"/>
    </row>
    <row r="2" spans="1:2">
      <c r="A2" t="s">
        <v>28</v>
      </c>
      <c r="B2" t="s">
        <v>29</v>
      </c>
    </row>
    <row r="3" spans="1:2">
      <c r="A3" t="s">
        <v>30</v>
      </c>
      <c r="B3" s="10">
        <v>25000</v>
      </c>
    </row>
    <row r="4" spans="1:2">
      <c r="A4" t="s">
        <v>31</v>
      </c>
      <c r="B4" s="10">
        <v>5</v>
      </c>
    </row>
    <row r="5" spans="1:2">
      <c r="A5" t="s">
        <v>32</v>
      </c>
      <c r="B5" s="10">
        <f>B3*B4</f>
        <v>125000</v>
      </c>
    </row>
    <row r="6" spans="1:2">
      <c r="A6" t="s">
        <v>33</v>
      </c>
      <c r="B6" s="10">
        <f>4*B5</f>
        <v>500000</v>
      </c>
    </row>
    <row r="7" spans="1:2">
      <c r="A7" t="s">
        <v>34</v>
      </c>
      <c r="B7" s="10">
        <f>12*B6</f>
        <v>6000000</v>
      </c>
    </row>
    <row r="8" spans="1:2">
      <c r="A8" t="s">
        <v>35</v>
      </c>
      <c r="B8" s="23">
        <f xml:space="preserve"> B6/30</f>
        <v>16666.666666666668</v>
      </c>
    </row>
    <row r="9" spans="1:2">
      <c r="A9" t="s">
        <v>36</v>
      </c>
      <c r="B9" s="10">
        <f>B7/30</f>
        <v>200000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C465-70AB-4021-83B4-C471C6E22BCF}">
  <dimension ref="A1:D7"/>
  <sheetViews>
    <sheetView workbookViewId="0">
      <selection activeCell="B10" sqref="B10"/>
    </sheetView>
  </sheetViews>
  <sheetFormatPr defaultRowHeight="15.6"/>
  <cols>
    <col min="1" max="1" width="30.5" customWidth="1"/>
    <col min="2" max="2" width="18.125" customWidth="1"/>
    <col min="3" max="3" width="21.125" customWidth="1"/>
  </cols>
  <sheetData>
    <row r="1" spans="1:4">
      <c r="A1" s="53" t="s">
        <v>37</v>
      </c>
      <c r="B1" s="53"/>
      <c r="C1" s="53"/>
    </row>
    <row r="2" spans="1:4">
      <c r="A2" t="s">
        <v>38</v>
      </c>
      <c r="B2" t="s">
        <v>39</v>
      </c>
      <c r="C2" t="s">
        <v>40</v>
      </c>
    </row>
    <row r="3" spans="1:4">
      <c r="A3" t="s">
        <v>41</v>
      </c>
      <c r="B3" s="23">
        <f>'production outcome '!B8</f>
        <v>16666.666666666668</v>
      </c>
      <c r="C3" s="11">
        <f>B3*B5</f>
        <v>833333.33333333337</v>
      </c>
      <c r="D3" s="11"/>
    </row>
    <row r="4" spans="1:4">
      <c r="A4" t="s">
        <v>42</v>
      </c>
      <c r="B4" s="10">
        <f>'production outcome '!B9</f>
        <v>200000</v>
      </c>
      <c r="C4" s="11">
        <f>B4*B5</f>
        <v>10000000</v>
      </c>
    </row>
    <row r="5" spans="1:4">
      <c r="A5" t="s">
        <v>43</v>
      </c>
      <c r="B5">
        <v>50</v>
      </c>
      <c r="C5" s="11"/>
    </row>
    <row r="6" spans="1:4">
      <c r="C6" s="11"/>
    </row>
    <row r="7" spans="1:4">
      <c r="C7" s="11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F24B-461A-4281-9958-FA47C4CAC0E0}">
  <dimension ref="A1:K32"/>
  <sheetViews>
    <sheetView showGridLines="0" topLeftCell="D16" zoomScaleNormal="85" workbookViewId="0">
      <selection activeCell="J28" sqref="J28"/>
    </sheetView>
  </sheetViews>
  <sheetFormatPr defaultRowHeight="15.6"/>
  <cols>
    <col min="1" max="1" width="27" bestFit="1" customWidth="1"/>
    <col min="2" max="2" width="22.625" customWidth="1"/>
    <col min="3" max="3" width="21.375" customWidth="1"/>
    <col min="4" max="4" width="24.75" customWidth="1"/>
    <col min="5" max="8" width="25.875" customWidth="1"/>
    <col min="9" max="9" width="32.875" customWidth="1"/>
    <col min="10" max="10" width="25.875" customWidth="1"/>
    <col min="11" max="11" width="21.75" customWidth="1"/>
  </cols>
  <sheetData>
    <row r="1" spans="1:11" ht="42.95">
      <c r="A1" s="54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>
      <c r="A2" s="14" t="s">
        <v>45</v>
      </c>
      <c r="B2" s="14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14" t="s">
        <v>51</v>
      </c>
      <c r="H2" s="14" t="s">
        <v>52</v>
      </c>
      <c r="I2" s="14" t="s">
        <v>53</v>
      </c>
      <c r="J2" s="14" t="s">
        <v>54</v>
      </c>
      <c r="K2" s="14" t="s">
        <v>55</v>
      </c>
    </row>
    <row r="3" spans="1:11">
      <c r="A3" s="15" t="s">
        <v>56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>
      <c r="A4" s="15" t="s">
        <v>57</v>
      </c>
      <c r="B4" s="13">
        <v>0</v>
      </c>
      <c r="C4" s="13">
        <f>0</f>
        <v>0</v>
      </c>
      <c r="D4" s="13">
        <f>'production outcome '!B8*3</f>
        <v>50000</v>
      </c>
      <c r="E4" s="13">
        <f>Table6[[#This Row],[Q3]]</f>
        <v>50000</v>
      </c>
      <c r="F4" s="13">
        <f>Table6[[#This Row],[Q4]]</f>
        <v>50000</v>
      </c>
      <c r="G4" s="13">
        <f>Table6[[#This Row],[Q5]]</f>
        <v>50000</v>
      </c>
      <c r="H4" s="13">
        <f>Table6[[#This Row],[Q6]]</f>
        <v>50000</v>
      </c>
      <c r="I4" s="13">
        <f>Table6[[#This Row],[Q7]]</f>
        <v>50000</v>
      </c>
      <c r="J4" s="13">
        <f>SUM(Table6[[#This Row],[Q5]:[Q8]])</f>
        <v>200000</v>
      </c>
      <c r="K4" s="13">
        <f>SUM(Table6[[#This Row],[Q1]:[Q4]])</f>
        <v>100000</v>
      </c>
    </row>
    <row r="5" spans="1:11">
      <c r="A5" s="15" t="s">
        <v>58</v>
      </c>
      <c r="B5" s="15">
        <v>0</v>
      </c>
      <c r="C5" s="15">
        <f>0</f>
        <v>0</v>
      </c>
      <c r="D5" s="15">
        <f>Table5[[#This Row],[Value ]]</f>
        <v>50</v>
      </c>
      <c r="E5" s="15">
        <f>Table6[[#This Row],[Q3]]</f>
        <v>50</v>
      </c>
      <c r="F5" s="15">
        <f>Table6[[#This Row],[Q4]]</f>
        <v>50</v>
      </c>
      <c r="G5" s="15">
        <f>Table6[[#This Row],[Q5]]</f>
        <v>50</v>
      </c>
      <c r="H5" s="15">
        <f>Table6[[#This Row],[Q6]]</f>
        <v>50</v>
      </c>
      <c r="I5" s="15">
        <f>Table6[[#This Row],[Q7]]</f>
        <v>50</v>
      </c>
      <c r="J5" s="15">
        <f>Table6[[#This Row],[Q8]]</f>
        <v>50</v>
      </c>
      <c r="K5" s="15">
        <f>Table6[[#This Row],[Y2 Total]]</f>
        <v>50</v>
      </c>
    </row>
    <row r="6" spans="1:11" ht="17.45">
      <c r="A6" s="16" t="s">
        <v>59</v>
      </c>
      <c r="B6" s="16">
        <f>B5*B4</f>
        <v>0</v>
      </c>
      <c r="C6" s="16">
        <f t="shared" ref="C6:F6" si="0">C5*C4</f>
        <v>0</v>
      </c>
      <c r="D6" s="16">
        <f>D5*D4</f>
        <v>2500000</v>
      </c>
      <c r="E6" s="16">
        <f t="shared" si="0"/>
        <v>2500000</v>
      </c>
      <c r="F6" s="16">
        <f t="shared" si="0"/>
        <v>2500000</v>
      </c>
      <c r="G6" s="16">
        <f t="shared" ref="G6" si="1">G5*G4</f>
        <v>2500000</v>
      </c>
      <c r="H6" s="16">
        <f t="shared" ref="H6" si="2">H5*H4</f>
        <v>2500000</v>
      </c>
      <c r="I6" s="16">
        <f t="shared" ref="I6" si="3">I5*I4</f>
        <v>2500000</v>
      </c>
      <c r="J6" s="16">
        <f>SUM(Table6[[#This Row],[Q5]:[Q8]])</f>
        <v>10000000</v>
      </c>
      <c r="K6" s="16">
        <f>K5*K4</f>
        <v>5000000</v>
      </c>
    </row>
    <row r="7" spans="1:11">
      <c r="A7" s="15" t="s">
        <v>60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>
      <c r="A8" s="15" t="s">
        <v>61</v>
      </c>
      <c r="B8" s="15">
        <f>'operating expenses'!B3*3</f>
        <v>900000</v>
      </c>
      <c r="C8" s="15">
        <f>Table6[[#This Row],[Q1]]</f>
        <v>900000</v>
      </c>
      <c r="D8" s="15">
        <f>Table6[[#This Row],[Q2]]</f>
        <v>900000</v>
      </c>
      <c r="E8" s="15">
        <f>Table6[[#This Row],[Q3]]</f>
        <v>900000</v>
      </c>
      <c r="F8" s="15">
        <f>Table6[[#This Row],[Q4]]</f>
        <v>900000</v>
      </c>
      <c r="G8" s="15">
        <f>Table6[[#This Row],[Q2]]</f>
        <v>900000</v>
      </c>
      <c r="H8" s="15">
        <f>Table6[[#This Row],[Q3]]</f>
        <v>900000</v>
      </c>
      <c r="I8" s="15">
        <f>Table6[[#This Row],[Q4]]</f>
        <v>900000</v>
      </c>
      <c r="J8" s="15">
        <f>SUM(Table6[[#This Row],[Q5]:[Q8]])</f>
        <v>3600000</v>
      </c>
      <c r="K8" s="15">
        <f>SUM(Table6[[#This Row],[Q1]:[Q4]])</f>
        <v>3600000</v>
      </c>
    </row>
    <row r="9" spans="1:11">
      <c r="A9" s="15" t="s">
        <v>62</v>
      </c>
      <c r="B9" s="15">
        <f>'operating expenses'!B4*3</f>
        <v>202710</v>
      </c>
      <c r="C9" s="15">
        <f>Table6[[#This Row],[Q1]]</f>
        <v>202710</v>
      </c>
      <c r="D9" s="15">
        <f>Table6[[#This Row],[Q2]]</f>
        <v>202710</v>
      </c>
      <c r="E9" s="15">
        <f>Table6[[#This Row],[Q3]]</f>
        <v>202710</v>
      </c>
      <c r="F9" s="15">
        <f>Table6[[#This Row],[Q4]]</f>
        <v>202710</v>
      </c>
      <c r="G9" s="15">
        <f>Table6[[#This Row],[Q5]]</f>
        <v>202710</v>
      </c>
      <c r="H9" s="15">
        <f>Table6[[#This Row],[Q6]]</f>
        <v>202710</v>
      </c>
      <c r="I9" s="15">
        <f>Table6[[#This Row],[Q7]]</f>
        <v>202710</v>
      </c>
      <c r="J9" s="15">
        <f>SUM(Table6[[#This Row],[Q5]:[Q8]])</f>
        <v>810840</v>
      </c>
      <c r="K9" s="15">
        <f>SUM(Table6[[#This Row],[Q1]:[Q4]])</f>
        <v>810840</v>
      </c>
    </row>
    <row r="10" spans="1:11">
      <c r="A10" s="15" t="s">
        <v>63</v>
      </c>
      <c r="B10" s="15">
        <v>0</v>
      </c>
      <c r="C10" s="15">
        <v>0</v>
      </c>
      <c r="D10" s="15">
        <f>'operating expenses'!B6*3</f>
        <v>300240</v>
      </c>
      <c r="E10" s="15">
        <f>'operating expenses'!B6*3</f>
        <v>300240</v>
      </c>
      <c r="F10" s="15">
        <f>Table6[[#This Row],[Q4]]</f>
        <v>300240</v>
      </c>
      <c r="G10" s="15">
        <f>Table6[[#This Row],[Q5]]</f>
        <v>300240</v>
      </c>
      <c r="H10" s="15">
        <f>Table6[[#This Row],[Q6]]</f>
        <v>300240</v>
      </c>
      <c r="I10" s="15">
        <f>Table6[[#This Row],[Q7]]</f>
        <v>300240</v>
      </c>
      <c r="J10" s="15">
        <f>SUM(Table6[[#This Row],[Q5]:[Q8]])</f>
        <v>1200960</v>
      </c>
      <c r="K10" s="15">
        <f>SUM(Table6[[#This Row],[Q1]:[Q4]])</f>
        <v>600480</v>
      </c>
    </row>
    <row r="11" spans="1: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7" t="s">
        <v>64</v>
      </c>
      <c r="B12" s="17">
        <f>-SUM(B8:B10)</f>
        <v>-1102710</v>
      </c>
      <c r="C12" s="17">
        <f t="shared" ref="C12:E12" si="4">-SUM(C8:C10)</f>
        <v>-1102710</v>
      </c>
      <c r="D12" s="17">
        <f t="shared" si="4"/>
        <v>-1402950</v>
      </c>
      <c r="E12" s="17">
        <f t="shared" si="4"/>
        <v>-1402950</v>
      </c>
      <c r="F12" s="17">
        <f>-SUM(F8:F10)</f>
        <v>-1402950</v>
      </c>
      <c r="G12" s="17">
        <f>-SUM(G8:G10)</f>
        <v>-1402950</v>
      </c>
      <c r="H12" s="17">
        <f t="shared" ref="H12:I12" si="5">-SUM(H8:H10)</f>
        <v>-1402950</v>
      </c>
      <c r="I12" s="17">
        <f t="shared" si="5"/>
        <v>-1402950</v>
      </c>
      <c r="J12" s="17">
        <f>SUM(Table6[[#This Row],[Q5]:[Q8]])</f>
        <v>-5611800</v>
      </c>
      <c r="K12" s="17">
        <f>-SUM(K8:K10)</f>
        <v>-5011320</v>
      </c>
    </row>
    <row r="13" spans="1:11" ht="24.95" customHeight="1" thickBot="1">
      <c r="A13" s="18" t="s">
        <v>65</v>
      </c>
      <c r="B13" s="18">
        <f>SUM(B12,B6)</f>
        <v>-1102710</v>
      </c>
      <c r="C13" s="18">
        <f t="shared" ref="C13:F13" si="6">SUM(C12,C6)</f>
        <v>-1102710</v>
      </c>
      <c r="D13" s="18">
        <f t="shared" si="6"/>
        <v>1097050</v>
      </c>
      <c r="E13" s="18">
        <f t="shared" si="6"/>
        <v>1097050</v>
      </c>
      <c r="F13" s="18">
        <f t="shared" si="6"/>
        <v>1097050</v>
      </c>
      <c r="G13" s="18">
        <f t="shared" ref="G13" si="7">SUM(G12,G6)</f>
        <v>1097050</v>
      </c>
      <c r="H13" s="18">
        <f t="shared" ref="H13" si="8">SUM(H12,H6)</f>
        <v>1097050</v>
      </c>
      <c r="I13" s="18">
        <f t="shared" ref="I13" si="9">SUM(I12,I6)</f>
        <v>1097050</v>
      </c>
      <c r="J13" s="18">
        <f>SUM(Table6[[#This Row],[Q5]:[Q8]])</f>
        <v>4388200</v>
      </c>
      <c r="K13" s="18">
        <f>SUM(K12,K6)</f>
        <v>-11320</v>
      </c>
    </row>
    <row r="14" spans="1:11">
      <c r="A14" s="15" t="s">
        <v>66</v>
      </c>
      <c r="B14" s="15"/>
      <c r="C14" s="15"/>
      <c r="D14" s="15"/>
      <c r="E14" s="15"/>
      <c r="F14" s="15"/>
      <c r="G14" s="15"/>
      <c r="H14" s="15"/>
      <c r="I14" s="15"/>
      <c r="J14" s="15">
        <f>SUM(Table6[[#This Row],[Q5]:[Q8]])</f>
        <v>0</v>
      </c>
      <c r="K14" s="15"/>
    </row>
    <row r="15" spans="1:11">
      <c r="A15" s="15" t="s">
        <v>67</v>
      </c>
      <c r="B15" s="15">
        <f>'operating expenses'!B7*3</f>
        <v>75000</v>
      </c>
      <c r="C15" s="15">
        <v>75000</v>
      </c>
      <c r="D15" s="15">
        <v>75000</v>
      </c>
      <c r="E15" s="15">
        <v>75000</v>
      </c>
      <c r="F15" s="15">
        <v>75000</v>
      </c>
      <c r="G15" s="15">
        <v>75000</v>
      </c>
      <c r="H15" s="15">
        <v>75000</v>
      </c>
      <c r="I15" s="15">
        <v>75000</v>
      </c>
      <c r="J15" s="15">
        <f>SUM(Table6[[#This Row],[Q5]:[Q8]])</f>
        <v>300000</v>
      </c>
      <c r="K15" s="15">
        <f>SUM(Table6[[#This Row],[Q1]:[Q4]])</f>
        <v>300000</v>
      </c>
    </row>
    <row r="16" spans="1:11">
      <c r="A16" s="15" t="s">
        <v>68</v>
      </c>
      <c r="B16" s="15">
        <f>'operating expenses'!B9*3</f>
        <v>27000</v>
      </c>
      <c r="C16" s="15">
        <f>Table6[[#This Row],[Q1]]</f>
        <v>27000</v>
      </c>
      <c r="D16" s="15">
        <f>Table6[[#This Row],[Q2]]*0.2</f>
        <v>5400</v>
      </c>
      <c r="E16" s="15">
        <f>Table6[[#This Row],[Q3]]</f>
        <v>5400</v>
      </c>
      <c r="F16" s="15">
        <f>Table6[[#This Row],[Q4]]</f>
        <v>5400</v>
      </c>
      <c r="G16" s="15">
        <f>Table6[[#This Row],[Q5]]</f>
        <v>5400</v>
      </c>
      <c r="H16" s="15">
        <f>Table6[[#This Row],[Q6]]</f>
        <v>5400</v>
      </c>
      <c r="I16" s="15">
        <f>Table6[[#This Row],[Q7]]</f>
        <v>5400</v>
      </c>
      <c r="J16" s="15">
        <f>SUM(Table6[[#This Row],[Q5]:[Q8]])</f>
        <v>21600</v>
      </c>
      <c r="K16" s="15">
        <f>SUM(Table6[[#This Row],[Q1]:[Q4]])</f>
        <v>64800</v>
      </c>
    </row>
    <row r="17" spans="1:11">
      <c r="A17" s="15" t="s">
        <v>69</v>
      </c>
      <c r="B17" s="15">
        <f>'operating expenses'!B8 *3</f>
        <v>30000</v>
      </c>
      <c r="C17" s="15">
        <f>Table6[[#This Row],[Q1]]</f>
        <v>30000</v>
      </c>
      <c r="D17" s="15">
        <f>Table6[[#This Row],[Q2]]</f>
        <v>30000</v>
      </c>
      <c r="E17" s="15">
        <f>Table6[[#This Row],[Q3]]</f>
        <v>30000</v>
      </c>
      <c r="F17" s="15">
        <v>36000</v>
      </c>
      <c r="G17" s="15">
        <v>36000</v>
      </c>
      <c r="H17" s="15">
        <v>21000</v>
      </c>
      <c r="I17" s="15">
        <v>36000</v>
      </c>
      <c r="J17" s="15">
        <f>SUM(Table6[[#This Row],[Q5]:[Q8]])</f>
        <v>129000</v>
      </c>
      <c r="K17" s="15">
        <f>SUM(Table6[[#This Row],[Q1]:[Q4]])</f>
        <v>120000</v>
      </c>
    </row>
    <row r="18" spans="1:11" ht="15.95" thickBot="1">
      <c r="A18" s="15" t="s">
        <v>70</v>
      </c>
      <c r="B18" s="15">
        <f>'operating expenses'!B5*3</f>
        <v>45000</v>
      </c>
      <c r="C18" s="15">
        <f>'operating expenses'!B5*3</f>
        <v>45000</v>
      </c>
      <c r="D18" s="15">
        <f>Table6[[#This Row],[Q2]]</f>
        <v>45000</v>
      </c>
      <c r="E18" s="15">
        <f>Table6[[#This Row],[Q3]]</f>
        <v>45000</v>
      </c>
      <c r="F18" s="15">
        <f>Table6[[#This Row],[Q4]]</f>
        <v>45000</v>
      </c>
      <c r="G18" s="15">
        <f>Table6[[#This Row],[Q3]]</f>
        <v>45000</v>
      </c>
      <c r="H18" s="15">
        <f>Table6[[#This Row],[Q4]]</f>
        <v>45000</v>
      </c>
      <c r="I18" s="15">
        <f>Table6[[#This Row],[Q3]]</f>
        <v>45000</v>
      </c>
      <c r="J18" s="15">
        <f>SUM(Table6[[#This Row],[Q5]:[Q8]])</f>
        <v>180000</v>
      </c>
      <c r="K18" s="15">
        <f>SUM(Table6[[#This Row],[Q1]:[Q4]])</f>
        <v>180000</v>
      </c>
    </row>
    <row r="19" spans="1:11" ht="18" thickTop="1">
      <c r="A19" s="19" t="s">
        <v>71</v>
      </c>
      <c r="B19" s="20">
        <f>-SUM(B15:B18)</f>
        <v>-177000</v>
      </c>
      <c r="C19" s="20">
        <f>-SUM(C15:C18)</f>
        <v>-177000</v>
      </c>
      <c r="D19" s="20">
        <f>-SUM(D15:D18)</f>
        <v>-155400</v>
      </c>
      <c r="E19" s="20">
        <f>-SUM(E15:E18)</f>
        <v>-155400</v>
      </c>
      <c r="F19" s="20">
        <f>-SUM(F15:F18)</f>
        <v>-161400</v>
      </c>
      <c r="G19" s="20">
        <f t="shared" ref="G19:I19" si="10">-SUM(G15:G18)</f>
        <v>-161400</v>
      </c>
      <c r="H19" s="20">
        <f t="shared" si="10"/>
        <v>-146400</v>
      </c>
      <c r="I19" s="20">
        <f t="shared" si="10"/>
        <v>-161400</v>
      </c>
      <c r="J19" s="20">
        <f>SUM(Table6[[#This Row],[Q5]:[Q8]])</f>
        <v>-630600</v>
      </c>
      <c r="K19" s="20">
        <f>-SUM(K15:K18)</f>
        <v>-664800</v>
      </c>
    </row>
    <row r="20" spans="1:11" ht="26.1" customHeight="1" thickBot="1">
      <c r="A20" s="21" t="s">
        <v>72</v>
      </c>
      <c r="B20" s="21">
        <f>SUM(B13,B19)</f>
        <v>-1279710</v>
      </c>
      <c r="C20" s="21">
        <f t="shared" ref="C20:D20" si="11">SUM(C13,C19)</f>
        <v>-1279710</v>
      </c>
      <c r="D20" s="21">
        <f t="shared" si="11"/>
        <v>941650</v>
      </c>
      <c r="E20" s="21">
        <f>SUM(E13,E19)</f>
        <v>941650</v>
      </c>
      <c r="F20" s="21">
        <f>SUM(F13,F19)</f>
        <v>935650</v>
      </c>
      <c r="G20" s="21">
        <f t="shared" ref="G20" si="12">SUM(G13,G19)</f>
        <v>935650</v>
      </c>
      <c r="H20" s="21">
        <f t="shared" ref="H20" si="13">SUM(H13,H19)</f>
        <v>950650</v>
      </c>
      <c r="I20" s="21">
        <f t="shared" ref="I20" si="14">SUM(I13,I19)</f>
        <v>935650</v>
      </c>
      <c r="J20" s="21">
        <f>SUM(Table6[[#This Row],[Q5]:[Q8]])</f>
        <v>3757600</v>
      </c>
      <c r="K20" s="21">
        <f>SUM(K13,K19)</f>
        <v>-676120</v>
      </c>
    </row>
    <row r="21" spans="1:11" ht="15.95" thickTop="1">
      <c r="A21" s="15" t="s">
        <v>73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f>SUM(Table6[[#This Row],[Q5]:[Q8]])</f>
        <v>0</v>
      </c>
      <c r="K21" s="15">
        <v>0</v>
      </c>
    </row>
    <row r="22" spans="1:11">
      <c r="A22" s="15" t="s">
        <v>74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f>SUM(Table6[[#This Row],[Q5]:[Q8]])</f>
        <v>0</v>
      </c>
      <c r="K22" s="15">
        <v>0</v>
      </c>
    </row>
    <row r="23" spans="1:11" ht="18" thickBot="1">
      <c r="A23" s="22" t="s">
        <v>75</v>
      </c>
      <c r="B23" s="22">
        <f>SUM(B20:B22)</f>
        <v>-1279710</v>
      </c>
      <c r="C23" s="22">
        <f t="shared" ref="C23:F23" si="15">SUM(C20:C22)</f>
        <v>-1279710</v>
      </c>
      <c r="D23" s="22">
        <f>SUM(D20:D22)</f>
        <v>941650</v>
      </c>
      <c r="E23" s="22">
        <f t="shared" si="15"/>
        <v>941650</v>
      </c>
      <c r="F23" s="22">
        <f t="shared" si="15"/>
        <v>935650</v>
      </c>
      <c r="G23" s="22">
        <f t="shared" ref="G23" si="16">SUM(G20:G22)</f>
        <v>935650</v>
      </c>
      <c r="H23" s="22">
        <f t="shared" ref="H23" si="17">SUM(H20:H22)</f>
        <v>950650</v>
      </c>
      <c r="I23" s="22">
        <f t="shared" ref="I23" si="18">SUM(I20:I22)</f>
        <v>935650</v>
      </c>
      <c r="J23" s="22">
        <f>SUM(Table6[[#This Row],[Q5]:[Q8]])</f>
        <v>3757600</v>
      </c>
      <c r="K23" s="22">
        <f>SUM(K20:K22)</f>
        <v>-676120</v>
      </c>
    </row>
    <row r="24" spans="1:11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B26" s="5"/>
      <c r="C26" s="5"/>
      <c r="D26" s="5"/>
      <c r="E26" s="5"/>
      <c r="F26" s="5"/>
      <c r="G26" s="5"/>
      <c r="H26" s="5"/>
      <c r="I26" s="5"/>
      <c r="K26" s="5"/>
    </row>
    <row r="27" spans="1:11">
      <c r="B27" s="5"/>
      <c r="C27" s="5"/>
      <c r="D27" s="5"/>
      <c r="E27" s="5"/>
      <c r="F27" s="5"/>
      <c r="G27" s="5"/>
      <c r="H27" s="5"/>
      <c r="I27" s="5" t="s">
        <v>76</v>
      </c>
      <c r="J27" s="5">
        <f>J23+K23</f>
        <v>3081480</v>
      </c>
      <c r="K27" s="5"/>
    </row>
    <row r="28" spans="1:11" ht="18" customHeight="1">
      <c r="I28" t="s">
        <v>77</v>
      </c>
      <c r="J28" s="11">
        <f>'start up cost '!B10</f>
        <v>1882000</v>
      </c>
    </row>
    <row r="29" spans="1:11">
      <c r="I29" s="9" t="s">
        <v>78</v>
      </c>
      <c r="J29" s="45">
        <f>J27-'start up cost '!B10</f>
        <v>1199480</v>
      </c>
    </row>
    <row r="30" spans="1:11">
      <c r="I30" s="43" t="s">
        <v>79</v>
      </c>
      <c r="J30" s="44">
        <f>J29/'start up cost '!B10</f>
        <v>0.63734325185972374</v>
      </c>
    </row>
    <row r="32" spans="1:11">
      <c r="I32" s="14"/>
    </row>
  </sheetData>
  <mergeCells count="1">
    <mergeCell ref="A1:K1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A2C3-89AA-4992-81D8-779758162DBF}">
  <dimension ref="A1:K19"/>
  <sheetViews>
    <sheetView zoomScale="110" zoomScaleNormal="110" workbookViewId="0">
      <selection activeCell="H9" sqref="H9"/>
    </sheetView>
  </sheetViews>
  <sheetFormatPr defaultRowHeight="15.6"/>
  <cols>
    <col min="1" max="1" width="23.375" bestFit="1" customWidth="1"/>
    <col min="2" max="5" width="17.375" bestFit="1" customWidth="1"/>
    <col min="6" max="9" width="17.125" bestFit="1" customWidth="1"/>
    <col min="10" max="10" width="27.625" customWidth="1"/>
    <col min="11" max="11" width="21.375" customWidth="1"/>
  </cols>
  <sheetData>
    <row r="1" spans="1:11" ht="35.1" customHeight="1">
      <c r="A1" s="55" t="s">
        <v>80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>
      <c r="A2" s="25" t="s">
        <v>81</v>
      </c>
      <c r="B2" s="28" t="s">
        <v>82</v>
      </c>
      <c r="C2" s="28" t="s">
        <v>83</v>
      </c>
      <c r="D2" s="28" t="s">
        <v>84</v>
      </c>
      <c r="E2" s="28" t="s">
        <v>85</v>
      </c>
      <c r="F2" s="25" t="s">
        <v>86</v>
      </c>
      <c r="G2" s="25" t="s">
        <v>87</v>
      </c>
      <c r="H2" s="25" t="s">
        <v>88</v>
      </c>
      <c r="I2" s="25" t="s">
        <v>89</v>
      </c>
      <c r="J2" s="25" t="s">
        <v>90</v>
      </c>
      <c r="K2" s="36" t="s">
        <v>91</v>
      </c>
    </row>
    <row r="3" spans="1:11" ht="15.6" customHeight="1" thickBot="1">
      <c r="A3" s="27" t="s">
        <v>92</v>
      </c>
      <c r="B3" s="41">
        <f>'Income Statement '!B5</f>
        <v>0</v>
      </c>
      <c r="C3" s="41">
        <v>0</v>
      </c>
      <c r="D3" s="41">
        <v>2500000</v>
      </c>
      <c r="E3" s="41">
        <v>2500000</v>
      </c>
      <c r="F3" s="41">
        <f>Table10[[#This Row],[Q3 (GHS)]]</f>
        <v>2500000</v>
      </c>
      <c r="G3" s="41">
        <f>Table10[[#This Row],[Q4 (GHS)]]</f>
        <v>2500000</v>
      </c>
      <c r="H3" s="41">
        <f>Table10[[#This Row],[Q5 (GHS)]]</f>
        <v>2500000</v>
      </c>
      <c r="I3" s="41">
        <f>Table10[[#This Row],[Q5 (GHS)]]</f>
        <v>2500000</v>
      </c>
      <c r="J3" s="41">
        <v>10000000</v>
      </c>
      <c r="K3" s="42">
        <v>5000000</v>
      </c>
    </row>
    <row r="4" spans="1:11" ht="24.95" customHeight="1" thickBot="1">
      <c r="A4" s="32" t="s">
        <v>93</v>
      </c>
      <c r="B4" s="33">
        <f>'Income Statement '!B6</f>
        <v>0</v>
      </c>
      <c r="C4" s="33">
        <f>'Income Statement '!C6</f>
        <v>0</v>
      </c>
      <c r="D4" s="33">
        <f>'Income Statement '!D6</f>
        <v>2500000</v>
      </c>
      <c r="E4" s="33">
        <f>'Income Statement '!E6</f>
        <v>2500000</v>
      </c>
      <c r="F4" s="33">
        <f>'Income Statement '!F6</f>
        <v>2500000</v>
      </c>
      <c r="G4" s="33">
        <f>'Income Statement '!G6</f>
        <v>2500000</v>
      </c>
      <c r="H4" s="33">
        <f>'Income Statement '!H6</f>
        <v>2500000</v>
      </c>
      <c r="I4" s="33">
        <f>'Income Statement '!I6</f>
        <v>2500000</v>
      </c>
      <c r="J4" s="31">
        <f>SUM(Table10[[#This Row],[Q5 (GHS)]:[Q8 (GHS)]])</f>
        <v>10000000</v>
      </c>
      <c r="K4" s="34">
        <f>SUM(Table10[[#This Row],[Q1 (GHS)]:[Q4 (GHS)]])</f>
        <v>5000000</v>
      </c>
    </row>
    <row r="5" spans="1:11" ht="20.100000000000001" customHeight="1">
      <c r="A5" s="26" t="s">
        <v>19</v>
      </c>
      <c r="B5" s="29">
        <f>'Income Statement '!B8</f>
        <v>900000</v>
      </c>
      <c r="C5" s="29">
        <f>'Income Statement '!C8</f>
        <v>900000</v>
      </c>
      <c r="D5" s="29">
        <f>'Income Statement '!D8</f>
        <v>900000</v>
      </c>
      <c r="E5" s="29">
        <f>'Income Statement '!E8</f>
        <v>900000</v>
      </c>
      <c r="F5" s="29">
        <f>Table10[[#This Row],[Q1 (GHS)]]</f>
        <v>900000</v>
      </c>
      <c r="G5" s="29">
        <f>Table10[[#This Row],[Q2 (GHS)]]</f>
        <v>900000</v>
      </c>
      <c r="H5" s="29">
        <f>Table10[[#This Row],[Q3 (GHS)]]</f>
        <v>900000</v>
      </c>
      <c r="I5" s="29">
        <f>Table10[[#This Row],[Q4 (GHS)]]</f>
        <v>900000</v>
      </c>
      <c r="J5" s="31">
        <f>SUM(Table10[[#This Row],[Q5 (GHS)]:[Q8 (GHS)]])</f>
        <v>3600000</v>
      </c>
      <c r="K5" s="35">
        <v>4003200</v>
      </c>
    </row>
    <row r="6" spans="1:11" ht="20.100000000000001" customHeight="1">
      <c r="A6" s="26" t="s">
        <v>94</v>
      </c>
      <c r="B6" s="29">
        <f>'Income Statement '!B9</f>
        <v>202710</v>
      </c>
      <c r="C6" s="29">
        <f>'Income Statement '!C9</f>
        <v>202710</v>
      </c>
      <c r="D6" s="29">
        <f>'Income Statement '!D9</f>
        <v>202710</v>
      </c>
      <c r="E6" s="29">
        <f>'Income Statement '!E9</f>
        <v>202710</v>
      </c>
      <c r="F6" s="29">
        <f>Table10[[#This Row],[Q1 (GHS)]]</f>
        <v>202710</v>
      </c>
      <c r="G6" s="29">
        <f>Table10[[#This Row],[Q2 (GHS)]]</f>
        <v>202710</v>
      </c>
      <c r="H6" s="29">
        <f>Table10[[#This Row],[Q3 (GHS)]]</f>
        <v>202710</v>
      </c>
      <c r="I6" s="29">
        <f>Table10[[#This Row],[Q4 (GHS)]]</f>
        <v>202710</v>
      </c>
      <c r="J6" s="31">
        <f>SUM(Table10[[#This Row],[Q5 (GHS)]:[Q8 (GHS)]])</f>
        <v>810840</v>
      </c>
      <c r="K6" s="35">
        <v>810840</v>
      </c>
    </row>
    <row r="7" spans="1:11" ht="20.100000000000001" customHeight="1">
      <c r="A7" s="26" t="s">
        <v>95</v>
      </c>
      <c r="B7" s="29">
        <f>'Income Statement '!B10</f>
        <v>0</v>
      </c>
      <c r="C7" s="29">
        <f>'Income Statement '!C10</f>
        <v>0</v>
      </c>
      <c r="D7" s="29">
        <f>'Income Statement '!D10</f>
        <v>300240</v>
      </c>
      <c r="E7" s="29">
        <f>'Income Statement '!E10</f>
        <v>300240</v>
      </c>
      <c r="F7" s="29">
        <f>Table10[[#This Row],[Q3 (GHS)]]</f>
        <v>300240</v>
      </c>
      <c r="G7" s="29">
        <f>Table10[[#This Row],[Q4 (GHS)]]</f>
        <v>300240</v>
      </c>
      <c r="H7" s="29">
        <f>Table10[[#This Row],[Q4 (GHS)]]</f>
        <v>300240</v>
      </c>
      <c r="I7" s="29">
        <f>Table10[[#This Row],[Q4 (GHS)]]</f>
        <v>300240</v>
      </c>
      <c r="J7" s="29">
        <v>1200960</v>
      </c>
      <c r="K7" s="35">
        <v>600480</v>
      </c>
    </row>
    <row r="8" spans="1:11" ht="20.100000000000001" customHeight="1">
      <c r="A8" s="26" t="s">
        <v>96</v>
      </c>
      <c r="B8" s="29">
        <f>'Income Statement '!B15</f>
        <v>75000</v>
      </c>
      <c r="C8" s="29">
        <v>75000</v>
      </c>
      <c r="D8" s="29">
        <v>75000</v>
      </c>
      <c r="E8" s="29">
        <v>75000</v>
      </c>
      <c r="F8" s="29">
        <f>Table10[[#This Row],[Q1 (GHS)]]</f>
        <v>75000</v>
      </c>
      <c r="G8" s="29">
        <f>Table10[[#This Row],[Q2 (GHS)]]</f>
        <v>75000</v>
      </c>
      <c r="H8" s="29">
        <f>Table10[[#This Row],[Q3 (GHS)]]</f>
        <v>75000</v>
      </c>
      <c r="I8" s="29">
        <f>Table10[[#This Row],[Q4 (GHS)]]</f>
        <v>75000</v>
      </c>
      <c r="J8" s="29">
        <f>SUM(Table10[[#This Row],[Q5 (GHS)]:[Q8 (GHS)]])</f>
        <v>300000</v>
      </c>
      <c r="K8" s="35">
        <v>300000</v>
      </c>
    </row>
    <row r="9" spans="1:11" ht="20.100000000000001" customHeight="1">
      <c r="A9" s="26" t="s">
        <v>25</v>
      </c>
      <c r="B9" s="29">
        <f>'Income Statement '!B16</f>
        <v>27000</v>
      </c>
      <c r="C9" s="29">
        <f>'Income Statement '!C16</f>
        <v>27000</v>
      </c>
      <c r="D9" s="29">
        <f>'Income Statement '!D16</f>
        <v>5400</v>
      </c>
      <c r="E9" s="29">
        <f>'Income Statement '!E16</f>
        <v>5400</v>
      </c>
      <c r="F9" s="29">
        <f>Table10[[#This Row],[Q1 (GHS)]]</f>
        <v>27000</v>
      </c>
      <c r="G9" s="29">
        <f>Table10[[#This Row],[Q2 (GHS)]]</f>
        <v>27000</v>
      </c>
      <c r="H9" s="29">
        <f>Table10[[#This Row],[Q3 (GHS)]]</f>
        <v>5400</v>
      </c>
      <c r="I9" s="29">
        <f>Table10[[#This Row],[Q4 (GHS)]]</f>
        <v>5400</v>
      </c>
      <c r="J9" s="29">
        <f>SUM(Table10[[#This Row],[Q5 (GHS)]:[Q8 (GHS)]])</f>
        <v>64800</v>
      </c>
      <c r="K9" s="35">
        <v>108000</v>
      </c>
    </row>
    <row r="10" spans="1:11" ht="20.100000000000001" customHeight="1">
      <c r="A10" s="26" t="s">
        <v>97</v>
      </c>
      <c r="B10" s="29">
        <f>'Income Statement '!B17</f>
        <v>30000</v>
      </c>
      <c r="C10" s="29">
        <f>'Income Statement '!C17</f>
        <v>30000</v>
      </c>
      <c r="D10" s="29">
        <f>'Income Statement '!D17</f>
        <v>30000</v>
      </c>
      <c r="E10" s="29">
        <f>'Income Statement '!E17</f>
        <v>30000</v>
      </c>
      <c r="F10" s="29">
        <f>Table10[[#This Row],[Q1 (GHS)]]</f>
        <v>30000</v>
      </c>
      <c r="G10" s="29">
        <f>Table10[[#This Row],[Q2 (GHS)]]</f>
        <v>30000</v>
      </c>
      <c r="H10" s="29">
        <f>Table10[[#This Row],[Q3 (GHS)]]</f>
        <v>30000</v>
      </c>
      <c r="I10" s="29">
        <f>Table10[[#This Row],[Q4 (GHS)]]</f>
        <v>30000</v>
      </c>
      <c r="J10" s="29">
        <f>SUM(Table10[[#This Row],[Q5 (GHS)]:[Q8 (GHS)]])</f>
        <v>120000</v>
      </c>
      <c r="K10" s="35">
        <v>134500</v>
      </c>
    </row>
    <row r="11" spans="1:11" ht="20.100000000000001" customHeight="1">
      <c r="A11" s="26" t="s">
        <v>98</v>
      </c>
      <c r="B11" s="29">
        <f>'Income Statement '!B18</f>
        <v>45000</v>
      </c>
      <c r="C11" s="29">
        <f>'Income Statement '!C18</f>
        <v>45000</v>
      </c>
      <c r="D11" s="29">
        <f>'Income Statement '!D18</f>
        <v>45000</v>
      </c>
      <c r="E11" s="29">
        <f>'Income Statement '!E18</f>
        <v>45000</v>
      </c>
      <c r="F11" s="29">
        <f>SUM(Table10[[#This Row],[Q1 (GHS)]])</f>
        <v>45000</v>
      </c>
      <c r="G11" s="29">
        <f>SUM(Table10[[#This Row],[Q2 (GHS)]])</f>
        <v>45000</v>
      </c>
      <c r="H11" s="29">
        <f>SUM(Table10[[#This Row],[Q3 (GHS)]])</f>
        <v>45000</v>
      </c>
      <c r="I11" s="29">
        <f>SUM(Table10[[#This Row],[Q4 (GHS)]])</f>
        <v>45000</v>
      </c>
      <c r="J11" s="29">
        <f>SUM(Table10[[#This Row],[Q5 (GHS)]:[Q8 (GHS)]])</f>
        <v>180000</v>
      </c>
      <c r="K11" s="35">
        <v>180000</v>
      </c>
    </row>
    <row r="12" spans="1:11" ht="20.100000000000001" customHeight="1" thickBot="1">
      <c r="A12" s="27" t="s">
        <v>99</v>
      </c>
      <c r="B12" s="29">
        <f>-SUM(B5:B11)</f>
        <v>-1279710</v>
      </c>
      <c r="C12" s="29">
        <f t="shared" ref="C12:E12" si="0">-SUM(C5:C11)</f>
        <v>-1279710</v>
      </c>
      <c r="D12" s="29">
        <f t="shared" si="0"/>
        <v>-1558350</v>
      </c>
      <c r="E12" s="29">
        <f t="shared" si="0"/>
        <v>-1558350</v>
      </c>
      <c r="F12" s="29">
        <f>-SUM(F5:F11)</f>
        <v>-1579950</v>
      </c>
      <c r="G12" s="29">
        <f t="shared" ref="G12:J12" si="1">-SUM(G5:G11)</f>
        <v>-1579950</v>
      </c>
      <c r="H12" s="29">
        <f t="shared" si="1"/>
        <v>-1558350</v>
      </c>
      <c r="I12" s="29">
        <f t="shared" si="1"/>
        <v>-1558350</v>
      </c>
      <c r="J12" s="29">
        <f t="shared" si="1"/>
        <v>-6276600</v>
      </c>
      <c r="K12" s="37">
        <f>SUM(Table10[[#This Row],[Q1 (GHS)]:[Q4 (GHS)]])</f>
        <v>-5676120</v>
      </c>
    </row>
    <row r="13" spans="1:11" ht="30" customHeight="1" thickBot="1">
      <c r="A13" s="39" t="s">
        <v>100</v>
      </c>
      <c r="B13" s="40">
        <f>SUM(B4,B12)</f>
        <v>-1279710</v>
      </c>
      <c r="C13" s="40">
        <f t="shared" ref="C13:E13" si="2">SUM(C4,C12)</f>
        <v>-1279710</v>
      </c>
      <c r="D13" s="40">
        <f t="shared" si="2"/>
        <v>941650</v>
      </c>
      <c r="E13" s="40">
        <f t="shared" si="2"/>
        <v>941650</v>
      </c>
      <c r="F13" s="40">
        <f>SUM(F4,F12)</f>
        <v>920050</v>
      </c>
      <c r="G13" s="40">
        <f t="shared" ref="G13:H13" si="3">SUM(G4,G12)</f>
        <v>920050</v>
      </c>
      <c r="H13" s="40">
        <f t="shared" si="3"/>
        <v>941650</v>
      </c>
      <c r="I13" s="40">
        <f>SUM(I4,I12)</f>
        <v>941650</v>
      </c>
      <c r="J13" s="40">
        <f>SUM(Table10[[#This Row],[Q5 (GHS)]:[Q8 (GHS)]])</f>
        <v>3723400</v>
      </c>
      <c r="K13" s="34">
        <f>SUM(Table10[[#This Row],[Q1 (GHS)]:[Q4 (GHS)]])</f>
        <v>-676120</v>
      </c>
    </row>
    <row r="14" spans="1:11" ht="15.6" customHeight="1">
      <c r="A14" s="27" t="s">
        <v>101</v>
      </c>
      <c r="B14" s="30">
        <f>SUM(B13)</f>
        <v>-1279710</v>
      </c>
      <c r="C14" s="30">
        <f>SUM(Table10[[#This Row],[Q1 (GHS)]],C13)</f>
        <v>-2559420</v>
      </c>
      <c r="D14" s="30">
        <f>SUM(Table10[[#This Row],[Q2 (GHS)]],D13)</f>
        <v>-1617770</v>
      </c>
      <c r="E14" s="30">
        <f>SUM(Table10[[#This Row],[Q3 (GHS)]],E13)</f>
        <v>-676120</v>
      </c>
      <c r="F14" s="30">
        <f>SUM(Table10[[#This Row],[Q4 (GHS)]],F13)</f>
        <v>243930</v>
      </c>
      <c r="G14" s="30">
        <f>SUM(Table10[[#This Row],[Q5 (GHS)]],G13)</f>
        <v>1163980</v>
      </c>
      <c r="H14" s="30">
        <f>SUM(Table10[[#This Row],[Q6 (GHS)]],H13)</f>
        <v>2105630</v>
      </c>
      <c r="I14" s="30">
        <f>SUM(Table10[[#This Row],[Q7 (GHS)]],I13)</f>
        <v>3047280</v>
      </c>
      <c r="J14" s="29"/>
      <c r="K14" s="38"/>
    </row>
    <row r="16" spans="1:11">
      <c r="C16" s="9" t="s">
        <v>102</v>
      </c>
      <c r="D16" s="48">
        <v>0.12</v>
      </c>
    </row>
    <row r="17" spans="3:4">
      <c r="C17" s="46" t="s">
        <v>103</v>
      </c>
      <c r="D17" s="47">
        <f>NPV(D16,J13,K13)-'Income Statement '!J28</f>
        <v>903465.56122448947</v>
      </c>
    </row>
    <row r="19" spans="3:4">
      <c r="C19" s="49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Owusu</dc:creator>
  <cp:keywords/>
  <dc:description/>
  <cp:lastModifiedBy>Isaac Owusu</cp:lastModifiedBy>
  <cp:revision/>
  <dcterms:created xsi:type="dcterms:W3CDTF">2025-07-16T11:01:29Z</dcterms:created>
  <dcterms:modified xsi:type="dcterms:W3CDTF">2025-10-20T09:35:29Z</dcterms:modified>
  <cp:category/>
  <cp:contentStatus/>
</cp:coreProperties>
</file>